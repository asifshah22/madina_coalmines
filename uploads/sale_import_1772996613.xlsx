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6E7F49B2-58D4-4E8D-BADC-41AA13AB36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PL Sales and Returns Report NI" sheetId="1" r:id="rId1"/>
    <sheet name="Selected Filters" sheetId="2" r:id="rId2"/>
  </sheets>
  <definedNames>
    <definedName name="_xlnm._FilterDatabase" localSheetId="0" hidden="1">'TPL Sales and Returns Report NI'!$B$2:$M$26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6" i="1" l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</calcChain>
</file>

<file path=xl/sharedStrings.xml><?xml version="1.0" encoding="utf-8"?>
<sst xmlns="http://schemas.openxmlformats.org/spreadsheetml/2006/main" count="131" uniqueCount="65">
  <si>
    <t/>
  </si>
  <si>
    <t>Gross Amount</t>
  </si>
  <si>
    <t>GST</t>
  </si>
  <si>
    <t>Discounts</t>
  </si>
  <si>
    <t>Addl Discount</t>
  </si>
  <si>
    <t>ABID K/S</t>
  </si>
  <si>
    <t>4130486123525</t>
  </si>
  <si>
    <t>260019000050</t>
  </si>
  <si>
    <t>260019003210</t>
  </si>
  <si>
    <t>260019007640</t>
  </si>
  <si>
    <t>260019009900</t>
  </si>
  <si>
    <t>AFSAR SIRAJ K/S</t>
  </si>
  <si>
    <t>4130311804491</t>
  </si>
  <si>
    <t>260019000060</t>
  </si>
  <si>
    <t>260019003010</t>
  </si>
  <si>
    <t>260019003350</t>
  </si>
  <si>
    <t>4130274769405</t>
  </si>
  <si>
    <t>260019005530</t>
  </si>
  <si>
    <t>260019007850</t>
  </si>
  <si>
    <t>260019009770</t>
  </si>
  <si>
    <t>AKRAM K/S</t>
  </si>
  <si>
    <t>4130371069077</t>
  </si>
  <si>
    <t>260019000460</t>
  </si>
  <si>
    <t>260019003150</t>
  </si>
  <si>
    <t>260019005430</t>
  </si>
  <si>
    <t>260019007740</t>
  </si>
  <si>
    <t>260019009790</t>
  </si>
  <si>
    <t>ALI ALI K/S</t>
  </si>
  <si>
    <t>4130317907807</t>
  </si>
  <si>
    <t>260019000470</t>
  </si>
  <si>
    <t>260019003200</t>
  </si>
  <si>
    <t>260019005510</t>
  </si>
  <si>
    <t>260019007800</t>
  </si>
  <si>
    <t>260019009980</t>
  </si>
  <si>
    <t>AL-MADINA K/S</t>
  </si>
  <si>
    <t>4130202018875</t>
  </si>
  <si>
    <t>260019000280</t>
  </si>
  <si>
    <t>260019003040</t>
  </si>
  <si>
    <t>260019007700</t>
  </si>
  <si>
    <t>260019009850</t>
  </si>
  <si>
    <t>Wajid Ali S/o Ghulam Murtaza</t>
  </si>
  <si>
    <t>Tapal Tea (Pvt.) Limited</t>
  </si>
  <si>
    <t>Sales &amp; Returns Report with NIC</t>
  </si>
  <si>
    <t>Distributor :</t>
  </si>
  <si>
    <t>Date From :</t>
  </si>
  <si>
    <t>Print Date Time :</t>
  </si>
  <si>
    <t>PJP - Name  :</t>
  </si>
  <si>
    <t>All</t>
  </si>
  <si>
    <t>Date To :</t>
  </si>
  <si>
    <t>Account Type:</t>
  </si>
  <si>
    <t>Section :</t>
  </si>
  <si>
    <t>Date Type :</t>
  </si>
  <si>
    <t>Delivery Date</t>
  </si>
  <si>
    <t>Outlet Name :</t>
  </si>
  <si>
    <t>Outlet Type :</t>
  </si>
  <si>
    <t>Sub Element :</t>
  </si>
  <si>
    <t>customer name</t>
  </si>
  <si>
    <t>Cus: CNIC</t>
  </si>
  <si>
    <t>Sale Qty -  Kgs</t>
  </si>
  <si>
    <t>Ref: No.</t>
  </si>
  <si>
    <t>Invoice Date</t>
  </si>
  <si>
    <t>Senario Type</t>
  </si>
  <si>
    <t>Discount</t>
  </si>
  <si>
    <t>Net Amount incl GST</t>
  </si>
  <si>
    <t>SN006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</si>
</sst>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10409]yyyy\-mm\-dd"/>
    <numFmt numFmtId="165" formatCode="[$-10409]0.000;\(0.000\);&quot;-&quot;"/>
    <numFmt numFmtId="166" formatCode="[$-10409]#,##0.00;\(#,##0.00\);&quot;-&quot;"/>
    <numFmt numFmtId="167" formatCode="[$-10409]#,##0.00;\(#,##0.00\);&quot;0&quot;"/>
    <numFmt numFmtId="168" formatCode="[$-10409]dd/mm/yyyy"/>
    <numFmt numFmtId="169" formatCode="[$-10409]dd/mm/yyyy\ hh:mm\ AM/PM"/>
  </numFmts>
  <fonts count="6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000000"/>
      <name val="Calibri"/>
    </font>
    <font>
      <sz val="9"/>
      <color rgb="FF000000"/>
      <name val="Calibri"/>
    </font>
    <font>
      <b/>
      <sz val="16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20">
    <xf numFmtId="0" fontId="1" fillId="0" borderId="0" xfId="0" applyFont="1"/>
    <xf numFmtId="0" fontId="2" fillId="0" borderId="3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164" fontId="3" fillId="0" borderId="1" xfId="0" applyNumberFormat="1" applyFont="1" applyBorder="1" applyAlignment="1">
      <alignment horizontal="left" vertical="center" wrapText="1" readingOrder="1"/>
    </xf>
    <xf numFmtId="165" fontId="3" fillId="0" borderId="3" xfId="0" applyNumberFormat="1" applyFont="1" applyBorder="1" applyAlignment="1">
      <alignment horizontal="right" vertical="center" wrapText="1" readingOrder="1"/>
    </xf>
    <xf numFmtId="166" fontId="3" fillId="0" borderId="3" xfId="0" applyNumberFormat="1" applyFont="1" applyBorder="1" applyAlignment="1">
      <alignment horizontal="right" vertical="center" wrapText="1" readingOrder="1"/>
    </xf>
    <xf numFmtId="167" fontId="3" fillId="0" borderId="3" xfId="0" applyNumberFormat="1" applyFont="1" applyBorder="1" applyAlignment="1">
      <alignment horizontal="right" vertical="center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3" fillId="0" borderId="0" xfId="0" applyFont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top" wrapText="1" readingOrder="1"/>
    </xf>
    <xf numFmtId="0" fontId="1" fillId="0" borderId="0" xfId="0" applyFont="1"/>
    <xf numFmtId="0" fontId="5" fillId="0" borderId="0" xfId="0" applyFont="1" applyAlignment="1">
      <alignment horizontal="center" vertical="top" wrapText="1" readingOrder="1"/>
    </xf>
    <xf numFmtId="168" fontId="3" fillId="0" borderId="0" xfId="0" applyNumberFormat="1" applyFont="1" applyAlignment="1">
      <alignment horizontal="left" vertical="top" wrapText="1" readingOrder="1"/>
    </xf>
    <xf numFmtId="0" fontId="2" fillId="0" borderId="0" xfId="0" applyFont="1" applyAlignment="1">
      <alignment vertical="top" wrapText="1" readingOrder="1"/>
    </xf>
    <xf numFmtId="169" fontId="3" fillId="0" borderId="0" xfId="0" applyNumberFormat="1" applyFont="1" applyAlignment="1">
      <alignment horizontal="left" vertical="top" wrapText="1" readingOrder="1"/>
    </xf>
    <xf numFmtId="0" fontId="3" fillId="0" borderId="0" xfId="0" applyFont="1" applyAlignment="1">
      <alignment vertical="top" wrapText="1" readingOrder="1"/>
    </xf>
    <xf numFmtId="0" fontId="3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00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showGridLines="0" tabSelected="1" workbookViewId="0">
      <selection activeCell="L4" sqref="L4"/>
    </sheetView>
  </sheetViews>
  <sheetFormatPr defaultRowHeight="14.5"/>
  <cols>
    <col min="1" max="1" width="12.81640625" customWidth="1"/>
    <col min="2" max="2" width="18.26953125" customWidth="1"/>
    <col min="3" max="3" width="13.7265625" customWidth="1"/>
    <col min="4" max="4" width="13.36328125" customWidth="1"/>
    <col min="5" max="5" width="16.1796875" customWidth="1"/>
    <col min="6" max="6" width="12.7265625" customWidth="1"/>
    <col min="7" max="7" width="13.36328125" customWidth="1"/>
    <col min="8" max="8" width="14.81640625" customWidth="1"/>
    <col min="9" max="9" width="13.7265625" hidden="1" customWidth="1"/>
    <col min="10" max="11" width="17.26953125" hidden="1" customWidth="1"/>
    <col min="12" max="12" width="17.26953125" customWidth="1"/>
    <col min="13" max="13" width="20.81640625" customWidth="1"/>
  </cols>
  <sheetData>
    <row r="1" spans="1:13" ht="15" customHeight="1">
      <c r="B1" s="10"/>
      <c r="C1" s="10"/>
      <c r="D1" s="10"/>
      <c r="E1" s="10"/>
      <c r="F1" s="1" t="s">
        <v>0</v>
      </c>
      <c r="G1" s="11"/>
      <c r="H1" s="10"/>
      <c r="I1" s="10"/>
      <c r="J1" s="10"/>
      <c r="K1" s="10"/>
      <c r="L1" s="10"/>
      <c r="M1" s="10"/>
    </row>
    <row r="2" spans="1:13">
      <c r="A2" s="1" t="s">
        <v>61</v>
      </c>
      <c r="B2" s="1" t="s">
        <v>56</v>
      </c>
      <c r="C2" s="1" t="s">
        <v>57</v>
      </c>
      <c r="D2" s="1" t="s">
        <v>59</v>
      </c>
      <c r="E2" s="1" t="s">
        <v>60</v>
      </c>
      <c r="F2" s="1" t="s">
        <v>58</v>
      </c>
      <c r="G2" s="1" t="s">
        <v>1</v>
      </c>
      <c r="H2" s="1" t="s">
        <v>2</v>
      </c>
      <c r="I2" s="1"/>
      <c r="J2" s="1" t="s">
        <v>3</v>
      </c>
      <c r="K2" s="1" t="s">
        <v>4</v>
      </c>
      <c r="L2" s="1" t="s">
        <v>62</v>
      </c>
      <c r="M2" s="1" t="s">
        <v>63</v>
      </c>
    </row>
    <row r="3" spans="1:13">
      <c r="A3" t="s">
        <v>64</v>
      </c>
      <c r="B3" s="2" t="s">
        <v>5</v>
      </c>
      <c r="C3" s="2" t="s">
        <v>6</v>
      </c>
      <c r="D3" s="2" t="s">
        <v>7</v>
      </c>
      <c r="E3" s="3">
        <v>46025</v>
      </c>
      <c r="F3" s="4">
        <v>0.39</v>
      </c>
      <c r="G3" s="5">
        <v>560.14</v>
      </c>
      <c r="H3" s="6">
        <v>111.36</v>
      </c>
      <c r="I3" s="5">
        <v>-16.16</v>
      </c>
      <c r="J3" s="5"/>
      <c r="K3" s="5">
        <v>0</v>
      </c>
      <c r="L3" s="5">
        <f>+I3+J3+K3</f>
        <v>-16.16</v>
      </c>
      <c r="M3" s="5">
        <f t="shared" ref="M3:M26" si="0">G3+H3+I3+J3+K3</f>
        <v>655.34</v>
      </c>
    </row>
    <row r="4" spans="1:13">
      <c r="A4" t="s">
        <v>64</v>
      </c>
      <c r="B4" s="2" t="s">
        <v>5</v>
      </c>
      <c r="C4" s="2" t="s">
        <v>6</v>
      </c>
      <c r="D4" s="2" t="s">
        <v>8</v>
      </c>
      <c r="E4" s="3">
        <v>46032</v>
      </c>
      <c r="F4" s="4">
        <v>0.53400000000000003</v>
      </c>
      <c r="G4" s="5">
        <v>835.02</v>
      </c>
      <c r="H4" s="6">
        <v>163.22999999999999</v>
      </c>
      <c r="I4" s="5">
        <v>-15.34</v>
      </c>
      <c r="J4" s="5">
        <v>0</v>
      </c>
      <c r="K4" s="5">
        <v>0</v>
      </c>
      <c r="L4" s="5">
        <f t="shared" ref="L4:L26" si="1">+I4+J4+K4</f>
        <v>-15.34</v>
      </c>
      <c r="M4" s="5">
        <f t="shared" si="0"/>
        <v>982.91</v>
      </c>
    </row>
    <row r="5" spans="1:13">
      <c r="A5" t="s">
        <v>64</v>
      </c>
      <c r="B5" s="2" t="s">
        <v>5</v>
      </c>
      <c r="C5" s="2" t="s">
        <v>6</v>
      </c>
      <c r="D5" s="2" t="s">
        <v>9</v>
      </c>
      <c r="E5" s="3">
        <v>46046</v>
      </c>
      <c r="F5" s="4">
        <v>1.34</v>
      </c>
      <c r="G5" s="5">
        <v>2120.6</v>
      </c>
      <c r="H5" s="6">
        <v>413.4</v>
      </c>
      <c r="I5" s="5">
        <v>-59.14</v>
      </c>
      <c r="J5" s="5">
        <v>0</v>
      </c>
      <c r="K5" s="5">
        <v>0</v>
      </c>
      <c r="L5" s="5">
        <f t="shared" si="1"/>
        <v>-59.14</v>
      </c>
      <c r="M5" s="5">
        <f t="shared" si="0"/>
        <v>2474.86</v>
      </c>
    </row>
    <row r="6" spans="1:13">
      <c r="A6" t="s">
        <v>64</v>
      </c>
      <c r="B6" s="2" t="s">
        <v>5</v>
      </c>
      <c r="C6" s="2" t="s">
        <v>6</v>
      </c>
      <c r="D6" s="2" t="s">
        <v>10</v>
      </c>
      <c r="E6" s="3">
        <v>46053</v>
      </c>
      <c r="F6" s="4">
        <v>3.6850000000000001</v>
      </c>
      <c r="G6" s="5">
        <v>6241.24</v>
      </c>
      <c r="H6" s="6">
        <v>1200.51</v>
      </c>
      <c r="I6" s="5">
        <v>-124.39</v>
      </c>
      <c r="J6" s="5">
        <v>0</v>
      </c>
      <c r="K6" s="5">
        <v>0</v>
      </c>
      <c r="L6" s="5">
        <f t="shared" si="1"/>
        <v>-124.39</v>
      </c>
      <c r="M6" s="5">
        <f t="shared" si="0"/>
        <v>7317.36</v>
      </c>
    </row>
    <row r="7" spans="1:13">
      <c r="A7" t="s">
        <v>64</v>
      </c>
      <c r="B7" s="2" t="s">
        <v>11</v>
      </c>
      <c r="C7" s="2" t="s">
        <v>12</v>
      </c>
      <c r="D7" s="2" t="s">
        <v>13</v>
      </c>
      <c r="E7" s="3">
        <v>46025</v>
      </c>
      <c r="F7" s="4">
        <v>8</v>
      </c>
      <c r="G7" s="5">
        <v>12896.51</v>
      </c>
      <c r="H7" s="6">
        <v>2489.4899999999998</v>
      </c>
      <c r="I7" s="5">
        <v>-400</v>
      </c>
      <c r="J7" s="5">
        <v>0</v>
      </c>
      <c r="K7" s="5">
        <v>0</v>
      </c>
      <c r="L7" s="5">
        <f t="shared" si="1"/>
        <v>-400</v>
      </c>
      <c r="M7" s="5">
        <f t="shared" si="0"/>
        <v>14986</v>
      </c>
    </row>
    <row r="8" spans="1:13">
      <c r="A8" t="s">
        <v>64</v>
      </c>
      <c r="B8" s="2" t="s">
        <v>11</v>
      </c>
      <c r="C8" s="2" t="s">
        <v>12</v>
      </c>
      <c r="D8" s="2" t="s">
        <v>14</v>
      </c>
      <c r="E8" s="3">
        <v>46032</v>
      </c>
      <c r="F8" s="4">
        <v>27.95</v>
      </c>
      <c r="G8" s="5">
        <v>40494.22</v>
      </c>
      <c r="H8" s="6">
        <v>8069.49</v>
      </c>
      <c r="I8" s="5">
        <v>-952.88</v>
      </c>
      <c r="J8" s="5">
        <v>-25.62</v>
      </c>
      <c r="K8" s="5">
        <v>0</v>
      </c>
      <c r="L8" s="5">
        <f t="shared" si="1"/>
        <v>-978.5</v>
      </c>
      <c r="M8" s="5">
        <f t="shared" si="0"/>
        <v>47585.21</v>
      </c>
    </row>
    <row r="9" spans="1:13">
      <c r="A9" t="s">
        <v>64</v>
      </c>
      <c r="B9" s="2" t="s">
        <v>11</v>
      </c>
      <c r="C9" s="2" t="s">
        <v>12</v>
      </c>
      <c r="D9" s="2" t="s">
        <v>15</v>
      </c>
      <c r="E9" s="3">
        <v>46032</v>
      </c>
      <c r="F9" s="4">
        <v>21.12</v>
      </c>
      <c r="G9" s="5">
        <v>32750.49</v>
      </c>
      <c r="H9" s="6">
        <v>6333.56</v>
      </c>
      <c r="I9" s="5">
        <v>-564</v>
      </c>
      <c r="J9" s="5">
        <v>0</v>
      </c>
      <c r="K9" s="5">
        <v>0</v>
      </c>
      <c r="L9" s="5">
        <f t="shared" si="1"/>
        <v>-564</v>
      </c>
      <c r="M9" s="5">
        <f t="shared" si="0"/>
        <v>38520.050000000003</v>
      </c>
    </row>
    <row r="10" spans="1:13">
      <c r="A10" t="s">
        <v>64</v>
      </c>
      <c r="B10" s="2" t="s">
        <v>11</v>
      </c>
      <c r="C10" s="2" t="s">
        <v>16</v>
      </c>
      <c r="D10" s="2" t="s">
        <v>17</v>
      </c>
      <c r="E10" s="3">
        <v>46039</v>
      </c>
      <c r="F10" s="4">
        <v>4.0250000000000004</v>
      </c>
      <c r="G10" s="5">
        <v>6394.45</v>
      </c>
      <c r="H10" s="6">
        <v>1232.56</v>
      </c>
      <c r="I10" s="5">
        <v>-141.68</v>
      </c>
      <c r="J10" s="5">
        <v>0</v>
      </c>
      <c r="K10" s="5">
        <v>0</v>
      </c>
      <c r="L10" s="5">
        <f t="shared" si="1"/>
        <v>-141.68</v>
      </c>
      <c r="M10" s="5">
        <f t="shared" si="0"/>
        <v>7485.33</v>
      </c>
    </row>
    <row r="11" spans="1:13">
      <c r="A11" t="s">
        <v>64</v>
      </c>
      <c r="B11" s="2" t="s">
        <v>11</v>
      </c>
      <c r="C11" s="2" t="s">
        <v>16</v>
      </c>
      <c r="D11" s="2" t="s">
        <v>18</v>
      </c>
      <c r="E11" s="3">
        <v>46046</v>
      </c>
      <c r="F11" s="4">
        <v>25.119</v>
      </c>
      <c r="G11" s="5">
        <v>40831.46</v>
      </c>
      <c r="H11" s="6">
        <v>7881.86</v>
      </c>
      <c r="I11" s="5">
        <v>-1154.8599999999999</v>
      </c>
      <c r="J11" s="5">
        <v>0</v>
      </c>
      <c r="K11" s="5">
        <v>0</v>
      </c>
      <c r="L11" s="5">
        <f t="shared" si="1"/>
        <v>-1154.8599999999999</v>
      </c>
      <c r="M11" s="5">
        <f t="shared" si="0"/>
        <v>47558.46</v>
      </c>
    </row>
    <row r="12" spans="1:13">
      <c r="A12" t="s">
        <v>64</v>
      </c>
      <c r="B12" s="2" t="s">
        <v>11</v>
      </c>
      <c r="C12" s="2" t="s">
        <v>12</v>
      </c>
      <c r="D12" s="2" t="s">
        <v>19</v>
      </c>
      <c r="E12" s="3">
        <v>46053</v>
      </c>
      <c r="F12" s="4">
        <v>0.34200000000000003</v>
      </c>
      <c r="G12" s="5">
        <v>1415.92</v>
      </c>
      <c r="H12" s="6">
        <v>289.83</v>
      </c>
      <c r="I12" s="5">
        <v>0</v>
      </c>
      <c r="J12" s="5">
        <v>0</v>
      </c>
      <c r="K12" s="5">
        <v>0</v>
      </c>
      <c r="L12" s="5">
        <f t="shared" si="1"/>
        <v>0</v>
      </c>
      <c r="M12" s="5">
        <f t="shared" si="0"/>
        <v>1705.75</v>
      </c>
    </row>
    <row r="13" spans="1:13">
      <c r="A13" t="s">
        <v>64</v>
      </c>
      <c r="B13" s="2" t="s">
        <v>20</v>
      </c>
      <c r="C13" s="2" t="s">
        <v>21</v>
      </c>
      <c r="D13" s="2" t="s">
        <v>22</v>
      </c>
      <c r="E13" s="3">
        <v>46025</v>
      </c>
      <c r="F13" s="4">
        <v>12.035</v>
      </c>
      <c r="G13" s="5">
        <v>18812.689999999999</v>
      </c>
      <c r="H13" s="6">
        <v>3648.82</v>
      </c>
      <c r="I13" s="5">
        <v>-563.4</v>
      </c>
      <c r="J13" s="5">
        <v>-2.78</v>
      </c>
      <c r="K13" s="5">
        <v>0</v>
      </c>
      <c r="L13" s="5">
        <f t="shared" si="1"/>
        <v>-566.17999999999995</v>
      </c>
      <c r="M13" s="5">
        <f t="shared" si="0"/>
        <v>21895.329999999998</v>
      </c>
    </row>
    <row r="14" spans="1:13">
      <c r="A14" t="s">
        <v>64</v>
      </c>
      <c r="B14" s="2" t="s">
        <v>20</v>
      </c>
      <c r="C14" s="2" t="s">
        <v>21</v>
      </c>
      <c r="D14" s="2" t="s">
        <v>23</v>
      </c>
      <c r="E14" s="3">
        <v>46032</v>
      </c>
      <c r="F14" s="4">
        <v>17.21</v>
      </c>
      <c r="G14" s="5">
        <v>26881.23</v>
      </c>
      <c r="H14" s="6">
        <v>5206.26</v>
      </c>
      <c r="I14" s="5">
        <v>-681.46</v>
      </c>
      <c r="J14" s="5">
        <v>0</v>
      </c>
      <c r="K14" s="5">
        <v>0</v>
      </c>
      <c r="L14" s="5">
        <f t="shared" si="1"/>
        <v>-681.46</v>
      </c>
      <c r="M14" s="5">
        <f t="shared" si="0"/>
        <v>31406.03</v>
      </c>
    </row>
    <row r="15" spans="1:13">
      <c r="A15" t="s">
        <v>64</v>
      </c>
      <c r="B15" s="2" t="s">
        <v>20</v>
      </c>
      <c r="C15" s="2" t="s">
        <v>21</v>
      </c>
      <c r="D15" s="2" t="s">
        <v>24</v>
      </c>
      <c r="E15" s="3">
        <v>46039</v>
      </c>
      <c r="F15" s="4">
        <v>4.2699999999999996</v>
      </c>
      <c r="G15" s="5">
        <v>7073.25</v>
      </c>
      <c r="H15" s="6">
        <v>1366.79</v>
      </c>
      <c r="I15" s="5">
        <v>-209</v>
      </c>
      <c r="J15" s="5">
        <v>0</v>
      </c>
      <c r="K15" s="5">
        <v>0</v>
      </c>
      <c r="L15" s="5">
        <f t="shared" si="1"/>
        <v>-209</v>
      </c>
      <c r="M15" s="5">
        <f t="shared" si="0"/>
        <v>8231.0400000000009</v>
      </c>
    </row>
    <row r="16" spans="1:13">
      <c r="A16" t="s">
        <v>64</v>
      </c>
      <c r="B16" s="2" t="s">
        <v>20</v>
      </c>
      <c r="C16" s="2" t="s">
        <v>21</v>
      </c>
      <c r="D16" s="2" t="s">
        <v>25</v>
      </c>
      <c r="E16" s="3">
        <v>46046</v>
      </c>
      <c r="F16" s="4">
        <v>41.825000000000003</v>
      </c>
      <c r="G16" s="5">
        <v>65715.19</v>
      </c>
      <c r="H16" s="6">
        <v>12709.83</v>
      </c>
      <c r="I16" s="5">
        <v>-1758</v>
      </c>
      <c r="J16" s="5">
        <v>0</v>
      </c>
      <c r="K16" s="5">
        <v>0</v>
      </c>
      <c r="L16" s="5">
        <f t="shared" si="1"/>
        <v>-1758</v>
      </c>
      <c r="M16" s="5">
        <f t="shared" si="0"/>
        <v>76667.02</v>
      </c>
    </row>
    <row r="17" spans="1:13">
      <c r="A17" t="s">
        <v>64</v>
      </c>
      <c r="B17" s="2" t="s">
        <v>20</v>
      </c>
      <c r="C17" s="2" t="s">
        <v>21</v>
      </c>
      <c r="D17" s="2" t="s">
        <v>26</v>
      </c>
      <c r="E17" s="3">
        <v>46053</v>
      </c>
      <c r="F17" s="4">
        <v>10.68</v>
      </c>
      <c r="G17" s="5">
        <v>17309.28</v>
      </c>
      <c r="H17" s="6">
        <v>3340.68</v>
      </c>
      <c r="I17" s="5">
        <v>-518</v>
      </c>
      <c r="J17" s="5">
        <v>0</v>
      </c>
      <c r="K17" s="5">
        <v>0</v>
      </c>
      <c r="L17" s="5">
        <f t="shared" si="1"/>
        <v>-518</v>
      </c>
      <c r="M17" s="5">
        <f t="shared" si="0"/>
        <v>20131.96</v>
      </c>
    </row>
    <row r="18" spans="1:13">
      <c r="A18" t="s">
        <v>64</v>
      </c>
      <c r="B18" s="2" t="s">
        <v>27</v>
      </c>
      <c r="C18" s="2" t="s">
        <v>28</v>
      </c>
      <c r="D18" s="2" t="s">
        <v>29</v>
      </c>
      <c r="E18" s="3">
        <v>46025</v>
      </c>
      <c r="F18" s="4">
        <v>1.23</v>
      </c>
      <c r="G18" s="5">
        <v>1877.43</v>
      </c>
      <c r="H18" s="6">
        <v>364.57</v>
      </c>
      <c r="I18" s="5">
        <v>-48.76</v>
      </c>
      <c r="J18" s="5">
        <v>0</v>
      </c>
      <c r="K18" s="5">
        <v>0</v>
      </c>
      <c r="L18" s="5">
        <f t="shared" si="1"/>
        <v>-48.76</v>
      </c>
      <c r="M18" s="5">
        <f t="shared" si="0"/>
        <v>2193.2399999999998</v>
      </c>
    </row>
    <row r="19" spans="1:13">
      <c r="A19" t="s">
        <v>64</v>
      </c>
      <c r="B19" s="2" t="s">
        <v>27</v>
      </c>
      <c r="C19" s="2" t="s">
        <v>28</v>
      </c>
      <c r="D19" s="2" t="s">
        <v>30</v>
      </c>
      <c r="E19" s="3">
        <v>46032</v>
      </c>
      <c r="F19" s="4">
        <v>1.97</v>
      </c>
      <c r="G19" s="5">
        <v>3157.33</v>
      </c>
      <c r="H19" s="6">
        <v>610.16999999999996</v>
      </c>
      <c r="I19" s="5">
        <v>-96.22</v>
      </c>
      <c r="J19" s="5">
        <v>0</v>
      </c>
      <c r="K19" s="5">
        <v>0</v>
      </c>
      <c r="L19" s="5">
        <f t="shared" si="1"/>
        <v>-96.22</v>
      </c>
      <c r="M19" s="5">
        <f t="shared" si="0"/>
        <v>3671.28</v>
      </c>
    </row>
    <row r="20" spans="1:13">
      <c r="A20" t="s">
        <v>64</v>
      </c>
      <c r="B20" s="2" t="s">
        <v>27</v>
      </c>
      <c r="C20" s="2" t="s">
        <v>28</v>
      </c>
      <c r="D20" s="2" t="s">
        <v>31</v>
      </c>
      <c r="E20" s="3">
        <v>46039</v>
      </c>
      <c r="F20" s="4">
        <v>1.56</v>
      </c>
      <c r="G20" s="5">
        <v>2365.8000000000002</v>
      </c>
      <c r="H20" s="6">
        <v>457.63</v>
      </c>
      <c r="I20" s="5">
        <v>-53.76</v>
      </c>
      <c r="J20" s="5">
        <v>0</v>
      </c>
      <c r="K20" s="5">
        <v>0</v>
      </c>
      <c r="L20" s="5">
        <f t="shared" si="1"/>
        <v>-53.76</v>
      </c>
      <c r="M20" s="5">
        <f t="shared" si="0"/>
        <v>2769.67</v>
      </c>
    </row>
    <row r="21" spans="1:13">
      <c r="A21" t="s">
        <v>64</v>
      </c>
      <c r="B21" s="2" t="s">
        <v>27</v>
      </c>
      <c r="C21" s="2" t="s">
        <v>28</v>
      </c>
      <c r="D21" s="2" t="s">
        <v>32</v>
      </c>
      <c r="E21" s="3">
        <v>46046</v>
      </c>
      <c r="F21" s="4">
        <v>4.9580000000000002</v>
      </c>
      <c r="G21" s="5">
        <v>7139.84</v>
      </c>
      <c r="H21" s="6">
        <v>1418.66</v>
      </c>
      <c r="I21" s="5">
        <v>-160.69999999999999</v>
      </c>
      <c r="J21" s="5">
        <v>0</v>
      </c>
      <c r="K21" s="5">
        <v>0</v>
      </c>
      <c r="L21" s="5">
        <f t="shared" si="1"/>
        <v>-160.69999999999999</v>
      </c>
      <c r="M21" s="5">
        <f t="shared" si="0"/>
        <v>8397.7999999999993</v>
      </c>
    </row>
    <row r="22" spans="1:13">
      <c r="A22" t="s">
        <v>64</v>
      </c>
      <c r="B22" s="2" t="s">
        <v>27</v>
      </c>
      <c r="C22" s="2" t="s">
        <v>28</v>
      </c>
      <c r="D22" s="2" t="s">
        <v>33</v>
      </c>
      <c r="E22" s="3">
        <v>46053</v>
      </c>
      <c r="F22" s="4">
        <v>29.74</v>
      </c>
      <c r="G22" s="5">
        <v>46780.34</v>
      </c>
      <c r="H22" s="6">
        <v>9024.4</v>
      </c>
      <c r="I22" s="5">
        <v>-1165.3599999999999</v>
      </c>
      <c r="J22" s="5">
        <v>0</v>
      </c>
      <c r="K22" s="5">
        <v>0</v>
      </c>
      <c r="L22" s="5">
        <f t="shared" si="1"/>
        <v>-1165.3599999999999</v>
      </c>
      <c r="M22" s="5">
        <f t="shared" si="0"/>
        <v>54639.38</v>
      </c>
    </row>
    <row r="23" spans="1:13">
      <c r="A23" t="s">
        <v>64</v>
      </c>
      <c r="B23" s="2" t="s">
        <v>34</v>
      </c>
      <c r="C23" s="2" t="s">
        <v>35</v>
      </c>
      <c r="D23" s="2" t="s">
        <v>36</v>
      </c>
      <c r="E23" s="3">
        <v>46025</v>
      </c>
      <c r="F23" s="4">
        <v>23.474</v>
      </c>
      <c r="G23" s="5">
        <v>39098.35</v>
      </c>
      <c r="H23" s="6">
        <v>7553.9</v>
      </c>
      <c r="I23" s="5">
        <v>-1098.5999999999999</v>
      </c>
      <c r="J23" s="5">
        <v>0</v>
      </c>
      <c r="K23" s="5">
        <v>0</v>
      </c>
      <c r="L23" s="5">
        <f t="shared" si="1"/>
        <v>-1098.5999999999999</v>
      </c>
      <c r="M23" s="5">
        <f t="shared" si="0"/>
        <v>45553.65</v>
      </c>
    </row>
    <row r="24" spans="1:13">
      <c r="A24" t="s">
        <v>64</v>
      </c>
      <c r="B24" s="2" t="s">
        <v>34</v>
      </c>
      <c r="C24" s="2" t="s">
        <v>35</v>
      </c>
      <c r="D24" s="2" t="s">
        <v>37</v>
      </c>
      <c r="E24" s="3">
        <v>46032</v>
      </c>
      <c r="F24" s="4">
        <v>34.320999999999998</v>
      </c>
      <c r="G24" s="5">
        <v>55347.5</v>
      </c>
      <c r="H24" s="6">
        <v>10719.14</v>
      </c>
      <c r="I24" s="5">
        <v>-1580.6</v>
      </c>
      <c r="J24" s="5">
        <v>0</v>
      </c>
      <c r="K24" s="5">
        <v>0</v>
      </c>
      <c r="L24" s="5">
        <f t="shared" si="1"/>
        <v>-1580.6</v>
      </c>
      <c r="M24" s="5">
        <f t="shared" si="0"/>
        <v>64486.04</v>
      </c>
    </row>
    <row r="25" spans="1:13">
      <c r="A25" t="s">
        <v>64</v>
      </c>
      <c r="B25" s="2" t="s">
        <v>34</v>
      </c>
      <c r="C25" s="2" t="s">
        <v>35</v>
      </c>
      <c r="D25" s="2" t="s">
        <v>38</v>
      </c>
      <c r="E25" s="3">
        <v>46046</v>
      </c>
      <c r="F25" s="4">
        <v>36.356000000000002</v>
      </c>
      <c r="G25" s="5">
        <v>58749.18</v>
      </c>
      <c r="H25" s="6">
        <v>11367.45</v>
      </c>
      <c r="I25" s="5">
        <v>-1592.1</v>
      </c>
      <c r="J25" s="5">
        <v>0</v>
      </c>
      <c r="K25" s="5">
        <v>0</v>
      </c>
      <c r="L25" s="5">
        <f t="shared" si="1"/>
        <v>-1592.1</v>
      </c>
      <c r="M25" s="5">
        <f t="shared" si="0"/>
        <v>68524.53</v>
      </c>
    </row>
    <row r="26" spans="1:13">
      <c r="A26" t="s">
        <v>64</v>
      </c>
      <c r="B26" s="2" t="s">
        <v>34</v>
      </c>
      <c r="C26" s="2" t="s">
        <v>35</v>
      </c>
      <c r="D26" s="2" t="s">
        <v>39</v>
      </c>
      <c r="E26" s="3">
        <v>46053</v>
      </c>
      <c r="F26" s="4">
        <v>0.9</v>
      </c>
      <c r="G26" s="5">
        <v>1292.78</v>
      </c>
      <c r="H26" s="6">
        <v>253.22</v>
      </c>
      <c r="I26" s="5">
        <v>-37.119999999999997</v>
      </c>
      <c r="J26" s="5">
        <v>0</v>
      </c>
      <c r="K26" s="5">
        <v>0</v>
      </c>
      <c r="L26" s="5">
        <f t="shared" si="1"/>
        <v>-37.119999999999997</v>
      </c>
      <c r="M26" s="5">
        <f t="shared" si="0"/>
        <v>1508.88</v>
      </c>
    </row>
  </sheetData>
  <mergeCells count="2">
    <mergeCell ref="B1:E1"/>
    <mergeCell ref="G1:M1"/>
  </mergeCells>
  <pageMargins left="0" right="0" top="0" bottom="0" header="0" footer="0"/>
  <pageSetup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15"/>
  <sheetViews>
    <sheetView showGridLines="0" workbookViewId="0"/>
  </sheetViews>
  <sheetFormatPr defaultRowHeight="14.5"/>
  <cols>
    <col min="1" max="1" width="5.7265625" customWidth="1"/>
    <col min="2" max="2" width="3" customWidth="1"/>
    <col min="3" max="3" width="19.7265625" customWidth="1"/>
    <col min="4" max="4" width="1.7265625" customWidth="1"/>
    <col min="5" max="5" width="18.7265625" customWidth="1"/>
    <col min="6" max="6" width="1.54296875" customWidth="1"/>
    <col min="7" max="7" width="15.81640625" customWidth="1"/>
    <col min="8" max="8" width="1" customWidth="1"/>
    <col min="9" max="9" width="0" hidden="1" customWidth="1"/>
    <col min="10" max="10" width="18.54296875" customWidth="1"/>
    <col min="11" max="11" width="0" hidden="1" customWidth="1"/>
    <col min="12" max="12" width="1" customWidth="1"/>
    <col min="13" max="13" width="0" hidden="1" customWidth="1"/>
    <col min="14" max="14" width="17.453125" customWidth="1"/>
    <col min="15" max="15" width="1.1796875" customWidth="1"/>
    <col min="16" max="16" width="0" hidden="1" customWidth="1"/>
    <col min="17" max="17" width="0.1796875" customWidth="1"/>
    <col min="18" max="18" width="34.81640625" customWidth="1"/>
    <col min="19" max="19" width="0" hidden="1" customWidth="1"/>
    <col min="20" max="20" width="17" customWidth="1"/>
    <col min="21" max="21" width="3.54296875" customWidth="1"/>
    <col min="22" max="22" width="255" customWidth="1"/>
  </cols>
  <sheetData>
    <row r="1" spans="2:20" ht="24.4" customHeight="1">
      <c r="B1" s="12" t="s">
        <v>40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2:20" ht="0.4" customHeight="1"/>
    <row r="3" spans="2:20" ht="13.75" customHeight="1">
      <c r="B3" s="14" t="s">
        <v>41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2:20" ht="0" hidden="1" customHeight="1"/>
    <row r="5" spans="2:20" ht="13.75" customHeight="1">
      <c r="B5" s="14" t="s">
        <v>42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2:20" ht="13" customHeight="1"/>
    <row r="7" spans="2:20" ht="24">
      <c r="C7" s="7" t="s">
        <v>43</v>
      </c>
      <c r="E7" s="8" t="s">
        <v>40</v>
      </c>
      <c r="G7" s="7" t="s">
        <v>44</v>
      </c>
      <c r="I7" s="15">
        <v>46023</v>
      </c>
      <c r="J7" s="13"/>
      <c r="M7" s="16" t="s">
        <v>45</v>
      </c>
      <c r="N7" s="13"/>
      <c r="P7" s="17">
        <v>46060.690211759298</v>
      </c>
      <c r="Q7" s="13"/>
      <c r="R7" s="13"/>
      <c r="S7" s="13"/>
      <c r="T7" s="13"/>
    </row>
    <row r="8" spans="2:20" ht="2.9" customHeight="1"/>
    <row r="9" spans="2:20">
      <c r="C9" s="7" t="s">
        <v>46</v>
      </c>
      <c r="E9" s="9" t="s">
        <v>47</v>
      </c>
      <c r="G9" s="7" t="s">
        <v>48</v>
      </c>
      <c r="I9" s="15">
        <v>46053</v>
      </c>
      <c r="J9" s="13"/>
      <c r="N9" s="7" t="s">
        <v>49</v>
      </c>
      <c r="Q9" s="18" t="s">
        <v>47</v>
      </c>
      <c r="R9" s="13"/>
      <c r="S9" s="13"/>
      <c r="T9" s="13"/>
    </row>
    <row r="10" spans="2:20" ht="2.15" customHeight="1"/>
    <row r="11" spans="2:20">
      <c r="C11" s="7" t="s">
        <v>50</v>
      </c>
      <c r="E11" s="9" t="s">
        <v>47</v>
      </c>
      <c r="G11" s="7" t="s">
        <v>51</v>
      </c>
      <c r="I11" s="19" t="s">
        <v>52</v>
      </c>
      <c r="J11" s="13"/>
      <c r="N11" s="7" t="s">
        <v>53</v>
      </c>
      <c r="R11" s="18" t="s">
        <v>47</v>
      </c>
      <c r="S11" s="13"/>
      <c r="T11" s="13"/>
    </row>
    <row r="12" spans="2:20" ht="0" hidden="1" customHeight="1"/>
    <row r="13" spans="2:20" ht="2.25" customHeight="1"/>
    <row r="14" spans="2:20">
      <c r="C14" s="7" t="s">
        <v>54</v>
      </c>
      <c r="E14" s="9" t="s">
        <v>47</v>
      </c>
      <c r="G14" s="7" t="s">
        <v>55</v>
      </c>
      <c r="J14" s="19" t="s">
        <v>47</v>
      </c>
      <c r="K14" s="13"/>
    </row>
    <row r="15" spans="2:20" ht="14.25" customHeight="1"/>
  </sheetData>
  <mergeCells count="11">
    <mergeCell ref="I9:J9"/>
    <mergeCell ref="Q9:T9"/>
    <mergeCell ref="I11:J11"/>
    <mergeCell ref="R11:T11"/>
    <mergeCell ref="J14:K14"/>
    <mergeCell ref="B1:R1"/>
    <mergeCell ref="B3:R3"/>
    <mergeCell ref="B5:R5"/>
    <mergeCell ref="I7:J7"/>
    <mergeCell ref="M7:N7"/>
    <mergeCell ref="P7:T7"/>
  </mergeCells>
  <pageMargins left="0" right="0" top="0" bottom="0" header="0" footer="0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TPL Sales and Returns Report NI</vt:lpstr>
      <vt:lpstr>Selected Filters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2026-03-08T12:30:41Z</dcterms:created>
  <dcterms:modified xsi:type="dcterms:W3CDTF">2026-03-08T12:30:41Z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